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IDEN WHITE\Downloads\as\"/>
    </mc:Choice>
  </mc:AlternateContent>
  <xr:revisionPtr revIDLastSave="0" documentId="8_{24F06FA4-9DA3-4B25-AF6C-B7B86484EA9D}" xr6:coauthVersionLast="47" xr6:coauthVersionMax="47" xr10:uidLastSave="{00000000-0000-0000-0000-000000000000}"/>
  <bookViews>
    <workbookView xWindow="-108" yWindow="-108" windowWidth="23256" windowHeight="12576" xr2:uid="{318A696A-60B5-463B-AF53-40236E778981}"/>
  </bookViews>
  <sheets>
    <sheet name="area tecnologia" sheetId="1" r:id="rId1"/>
    <sheet name="area social" sheetId="4" r:id="rId2"/>
    <sheet name="area economia" sheetId="3" r:id="rId3"/>
    <sheet name="area salu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0" i="1" l="1"/>
  <c r="F59" i="1"/>
</calcChain>
</file>

<file path=xl/sharedStrings.xml><?xml version="1.0" encoding="utf-8"?>
<sst xmlns="http://schemas.openxmlformats.org/spreadsheetml/2006/main" count="333" uniqueCount="120">
  <si>
    <t>Mas</t>
  </si>
  <si>
    <t>Fem</t>
  </si>
  <si>
    <t>Total</t>
  </si>
  <si>
    <t>ARQUITECTURA Y CIENCIAS DEL HÁBITAT</t>
  </si>
  <si>
    <t>ARQUITECTURA</t>
  </si>
  <si>
    <t>Sucre</t>
  </si>
  <si>
    <t>ARTE Y DISEÑO GRAFICO</t>
  </si>
  <si>
    <t>DISEÑO DE INTERIORES</t>
  </si>
  <si>
    <t>CIENCIA Y TECNOLOGIA</t>
  </si>
  <si>
    <t>INDUSTRIA DE ALIMENTOS</t>
  </si>
  <si>
    <t>INFORMÁTICA</t>
  </si>
  <si>
    <t>INGENIERÍA AMBIENTAL</t>
  </si>
  <si>
    <t>INGENIERÍA DE PETRÓLEO Y GAS NATURAL</t>
  </si>
  <si>
    <t>INGENIERÍA DE SISTEMAS</t>
  </si>
  <si>
    <t>INGENIERÍA EN BIOTECNOLOGÍA</t>
  </si>
  <si>
    <t>INGENIERIA EN CIBERSEGURIDAD</t>
  </si>
  <si>
    <t>INGENIERÍA EN CIENCIAS DE LA COMPUTACIÓN</t>
  </si>
  <si>
    <t>INGENIERIA EN DISEÑO Y ANIMACION DIGITAL</t>
  </si>
  <si>
    <t>INGENIERÍA EN INDUSTRIAS ALIMENTARIAS</t>
  </si>
  <si>
    <t>INGENIERÍA EN PETRÓLEO, GAS Y ENERGIAS PRIMARIAS</t>
  </si>
  <si>
    <t>INGENIERÍA EN TECNOLOGÍAS DE LA INFORMACIÓN Y SEGURIDAD</t>
  </si>
  <si>
    <t>INGENIERÍA EN TELECOMUNICACIONES</t>
  </si>
  <si>
    <t>INGENIERÍA INDUSTRIAL</t>
  </si>
  <si>
    <t>INGENIERÍA QUÍMICA</t>
  </si>
  <si>
    <t>PETROLEO Y GAS NATURAL TÉCNICO SUPERIOR</t>
  </si>
  <si>
    <t>Monteagudo</t>
  </si>
  <si>
    <t>QUÍMICA INDUSTRIAL</t>
  </si>
  <si>
    <t>CIENCIAS AGRARIAS</t>
  </si>
  <si>
    <t>ADMINISTRACIÓN AGROPECUARIA</t>
  </si>
  <si>
    <t>AGROFORESTERIA Y AGUA</t>
  </si>
  <si>
    <t>Huacareta</t>
  </si>
  <si>
    <t>AGRONOMÍA TEC. SUPERIOR</t>
  </si>
  <si>
    <t>INGENIERÍA AGROFORESTAL</t>
  </si>
  <si>
    <t>INGENIERÍA AGROFORESTAL Y AGUA</t>
  </si>
  <si>
    <t>INGENIERÍA AGROINDUSTRIAL</t>
  </si>
  <si>
    <t>Camargo</t>
  </si>
  <si>
    <t>INGENIERÍA AGRONÓMICA</t>
  </si>
  <si>
    <t>INGENIERÍA AGROPECUARIA</t>
  </si>
  <si>
    <t>Serrano</t>
  </si>
  <si>
    <t>INGENIERÍA EN DESARROLLO RURAL</t>
  </si>
  <si>
    <t>INGENIERÍA EN RECURSOS NATURALES</t>
  </si>
  <si>
    <t>PROG. DE NIV. DE TEC. SUP. EN AGRONOMÍA Y TEC. SUP. EN PROD. AGROP. A LIC. EN ING. EN DES. RURAL</t>
  </si>
  <si>
    <t>TÉCNICO SUPERIOR PRODUCCIÓN AGROPECUARIA</t>
  </si>
  <si>
    <t>Azurduy</t>
  </si>
  <si>
    <t>Redencion Pampa</t>
  </si>
  <si>
    <t>Alcala</t>
  </si>
  <si>
    <t>CIENCIAS DE ENFERMERÍA Y OBSTETRICIA</t>
  </si>
  <si>
    <t>ENFERMERÍA</t>
  </si>
  <si>
    <t>San Lucas</t>
  </si>
  <si>
    <t>ENFERMERÍA OBSTETRIZ</t>
  </si>
  <si>
    <t>PROGRAMA DE LICENCIATURA EN ENFERMERÍA</t>
  </si>
  <si>
    <t>Padilla</t>
  </si>
  <si>
    <t>CIENCIAS ECONÓMICAS Y EMPRESARIALES</t>
  </si>
  <si>
    <t>ADMINISTRACIÓN DE EMPRESAS</t>
  </si>
  <si>
    <t>Muyupampa</t>
  </si>
  <si>
    <t>ECONOMÍA</t>
  </si>
  <si>
    <t>GERENCIA Y ADMINISTRACION PUBLICA</t>
  </si>
  <si>
    <t>GESTIÓN Y GERENCIA DE NEGOCIOS</t>
  </si>
  <si>
    <t>INGENIERÍA COMERCIAL</t>
  </si>
  <si>
    <t>CIENCIAS QUÍMICO FARMACÉUTICAS Y BIOQUÍMICAS</t>
  </si>
  <si>
    <t>BIOLOGIA</t>
  </si>
  <si>
    <t>BIOQUÍMICA</t>
  </si>
  <si>
    <t>QUÍMICA FARMACEUTICA</t>
  </si>
  <si>
    <t>CIENCIAS TECNOLÓGICAS DE LA SALUD</t>
  </si>
  <si>
    <t>BIO-IMAGENOLOGÍA</t>
  </si>
  <si>
    <t>KINESIOLOGÍA Y FISIOTERAPIA</t>
  </si>
  <si>
    <t>LABORATORIO CLÍNICO</t>
  </si>
  <si>
    <t>NUTRICIÓN Y DIETÉTICA</t>
  </si>
  <si>
    <t>CONTADURIA PÚBLICA Y CIENCIAS FINANCIERAS</t>
  </si>
  <si>
    <t>ADMINISTRACIÓN FINANCIERA</t>
  </si>
  <si>
    <t>COMERCIO EXTERIOR Y ADUANAS</t>
  </si>
  <si>
    <t xml:space="preserve">COMERCIO INTERNACIONAL </t>
  </si>
  <si>
    <t>CONTADURÍA PÚBLICA</t>
  </si>
  <si>
    <t>CONTADURIA PUBLICA TECNICO SUPERIOR</t>
  </si>
  <si>
    <t>INGENIERÍA FINANCIERA</t>
  </si>
  <si>
    <t>DERECHO, CIENCIAS POLÍTICAS Y SOCIALES</t>
  </si>
  <si>
    <t>CIENCIAS DE LA COMUNICACIÓN SOCIAL</t>
  </si>
  <si>
    <t>COMUNICACIÓN SOCIAL Y MEDIOS DIGÍTALES</t>
  </si>
  <si>
    <t>DERECHO</t>
  </si>
  <si>
    <t>HISTORIA</t>
  </si>
  <si>
    <t>SOCIOLOGÍA</t>
  </si>
  <si>
    <t>HUMANIDADES Y CIENCIAS DE LA EDUCACIÓN</t>
  </si>
  <si>
    <t>GASTRONOMIA</t>
  </si>
  <si>
    <t>IDIOMAS</t>
  </si>
  <si>
    <t>PEDAGOGÍA</t>
  </si>
  <si>
    <t>PSICOLOGÍA</t>
  </si>
  <si>
    <t>TRABAJO SOCIAL</t>
  </si>
  <si>
    <t>TURISMO</t>
  </si>
  <si>
    <t>TURISMO, HOTELERIA Y GESTIÓN CULTURAL</t>
  </si>
  <si>
    <t>INGENIERÍA CIVIL</t>
  </si>
  <si>
    <t>INGENIERÍA Y CIENCIAS APLICADAS MECA-ELECTRÓNICAS</t>
  </si>
  <si>
    <t>INGENIERIA BIOMEDICA</t>
  </si>
  <si>
    <t>INGENIERÍA ELÉCTRICA</t>
  </si>
  <si>
    <t>INGENIERÍA ELECTROMECÁNICA</t>
  </si>
  <si>
    <t>INGENIERÍA ELECTRÓNICA</t>
  </si>
  <si>
    <t>INGENIERÍA MECÁNICA</t>
  </si>
  <si>
    <t>INGENIERÍA MECATRÓNICA</t>
  </si>
  <si>
    <t>INTEGRAL DEFENSORES DEL CHACO</t>
  </si>
  <si>
    <t>AGROINDUSTRIA TÉCNICO SUPERIOR</t>
  </si>
  <si>
    <t>Machareti</t>
  </si>
  <si>
    <t>INGENIERÍA EN ZOOTECNIA</t>
  </si>
  <si>
    <t>MEDICINA VETERINARIA Y ZOOTECNIA</t>
  </si>
  <si>
    <t>MEDICINA</t>
  </si>
  <si>
    <t>ODONTOLOGÍA</t>
  </si>
  <si>
    <t>PRÓTESIS DENTAL</t>
  </si>
  <si>
    <t>TÉCNICA</t>
  </si>
  <si>
    <t>CONSTRUCCIÓN CIVIL</t>
  </si>
  <si>
    <t>ELECTRICIDAD</t>
  </si>
  <si>
    <t>ELECTRÓNICA</t>
  </si>
  <si>
    <t>GEODESIA Y TOPOGRAFIA</t>
  </si>
  <si>
    <t>INGENIERÍA GEOMÁTICA</t>
  </si>
  <si>
    <t>MECÁNICA AUTOMOTRIZ</t>
  </si>
  <si>
    <t>MECÁNICA INDUSTRIAL</t>
  </si>
  <si>
    <t>METAL MECÁNICA</t>
  </si>
  <si>
    <t>PROG. ESPECIAL DE NIV. DE MECANICOS AUTOMOTRICES EMPÍRICOS A TEC. UNIV. MEDIOS EN MECANICA AUTOMOTRIZ</t>
  </si>
  <si>
    <t>PROGRAMA MECANICA AUTOMOTRIZ</t>
  </si>
  <si>
    <t>TOPOGRAFÍA</t>
  </si>
  <si>
    <t>Facultad</t>
  </si>
  <si>
    <t>Carrera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</si>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</sst>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3" xfId="0" applyFill="1" applyBorder="1"/>
    <xf numFmtId="0" fontId="0" fillId="5" borderId="2" xfId="0" applyFill="1" applyBorder="1"/>
    <xf numFmtId="0" fontId="0" fillId="5" borderId="1" xfId="0" applyFill="1" applyBorder="1"/>
    <xf numFmtId="0" fontId="0" fillId="5" borderId="3" xfId="0" applyFill="1" applyBorder="1"/>
    <xf numFmtId="0" fontId="3" fillId="6" borderId="2" xfId="0" applyFont="1" applyFill="1" applyBorder="1"/>
    <xf numFmtId="0" fontId="3" fillId="6" borderId="1" xfId="0" applyFont="1" applyFill="1" applyBorder="1"/>
    <xf numFmtId="0" fontId="3" fillId="6" borderId="3" xfId="0" applyFont="1" applyFill="1" applyBorder="1"/>
    <xf numFmtId="0" fontId="0" fillId="7" borderId="2" xfId="0" applyFill="1" applyBorder="1"/>
    <xf numFmtId="0" fontId="0" fillId="7" borderId="1" xfId="0" applyFill="1" applyBorder="1"/>
    <xf numFmtId="0" fontId="0" fillId="7" borderId="3" xfId="0" applyFill="1" applyBorder="1"/>
    <xf numFmtId="0" fontId="0" fillId="8" borderId="2" xfId="0" applyFill="1" applyBorder="1"/>
    <xf numFmtId="0" fontId="0" fillId="8" borderId="1" xfId="0" applyFill="1" applyBorder="1"/>
    <xf numFmtId="0" fontId="0" fillId="8" borderId="3" xfId="0" applyFill="1" applyBorder="1"/>
    <xf numFmtId="0" fontId="0" fillId="9" borderId="2" xfId="0" applyFill="1" applyBorder="1"/>
    <xf numFmtId="0" fontId="0" fillId="9" borderId="1" xfId="0" applyFill="1" applyBorder="1"/>
    <xf numFmtId="0" fontId="0" fillId="9" borderId="3" xfId="0" applyFill="1" applyBorder="1"/>
    <xf numFmtId="0" fontId="2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10" borderId="2" xfId="0" applyFont="1" applyFill="1" applyBorder="1"/>
    <xf numFmtId="0" fontId="4" fillId="10" borderId="1" xfId="0" applyFont="1" applyFill="1" applyBorder="1"/>
    <xf numFmtId="0" fontId="4" fillId="10" borderId="3" xfId="0" applyFont="1" applyFill="1" applyBorder="1"/>
    <xf numFmtId="0" fontId="3" fillId="11" borderId="2" xfId="0" applyFont="1" applyFill="1" applyBorder="1"/>
    <xf numFmtId="0" fontId="3" fillId="11" borderId="1" xfId="0" applyFont="1" applyFill="1" applyBorder="1"/>
    <xf numFmtId="0" fontId="3" fillId="11" borderId="3" xfId="0" applyFont="1" applyFill="1" applyBorder="1"/>
    <xf numFmtId="0" fontId="0" fillId="4" borderId="2" xfId="0" applyFont="1" applyFill="1" applyBorder="1"/>
    <xf numFmtId="0" fontId="0" fillId="4" borderId="1" xfId="0" applyFont="1" applyFill="1" applyBorder="1"/>
    <xf numFmtId="0" fontId="0" fillId="4" borderId="3" xfId="0" applyFont="1" applyFill="1" applyBorder="1"/>
    <xf numFmtId="0" fontId="0" fillId="5" borderId="10" xfId="0" applyFont="1" applyFill="1" applyBorder="1"/>
    <xf numFmtId="0" fontId="0" fillId="5" borderId="1" xfId="0" applyFont="1" applyFill="1" applyBorder="1"/>
    <xf numFmtId="0" fontId="0" fillId="5" borderId="11" xfId="0" applyFont="1" applyFill="1" applyBorder="1"/>
    <xf numFmtId="0" fontId="0" fillId="12" borderId="10" xfId="0" applyFont="1" applyFill="1" applyBorder="1"/>
    <xf numFmtId="0" fontId="0" fillId="12" borderId="1" xfId="0" applyFont="1" applyFill="1" applyBorder="1"/>
    <xf numFmtId="0" fontId="0" fillId="12" borderId="11" xfId="0" applyFont="1" applyFill="1" applyBorder="1"/>
    <xf numFmtId="0" fontId="0" fillId="13" borderId="10" xfId="0" applyFont="1" applyFill="1" applyBorder="1"/>
    <xf numFmtId="0" fontId="0" fillId="13" borderId="1" xfId="0" applyFont="1" applyFill="1" applyBorder="1"/>
    <xf numFmtId="0" fontId="0" fillId="13" borderId="11" xfId="0" applyFont="1" applyFill="1" applyBorder="1"/>
    <xf numFmtId="0" fontId="0" fillId="14" borderId="10" xfId="0" applyFont="1" applyFill="1" applyBorder="1"/>
    <xf numFmtId="0" fontId="0" fillId="14" borderId="1" xfId="0" applyFont="1" applyFill="1" applyBorder="1"/>
    <xf numFmtId="0" fontId="0" fillId="14" borderId="11" xfId="0" applyFont="1" applyFill="1" applyBorder="1"/>
    <xf numFmtId="0" fontId="0" fillId="15" borderId="10" xfId="0" applyFont="1" applyFill="1" applyBorder="1"/>
    <xf numFmtId="0" fontId="0" fillId="15" borderId="1" xfId="0" applyFont="1" applyFill="1" applyBorder="1"/>
    <xf numFmtId="0" fontId="0" fillId="15" borderId="11" xfId="0" applyFont="1" applyFill="1" applyBorder="1"/>
    <xf numFmtId="0" fontId="0" fillId="7" borderId="10" xfId="0" applyFont="1" applyFill="1" applyBorder="1"/>
    <xf numFmtId="0" fontId="0" fillId="7" borderId="1" xfId="0" applyFont="1" applyFill="1" applyBorder="1"/>
    <xf numFmtId="0" fontId="0" fillId="7" borderId="11" xfId="0" applyFont="1" applyFill="1" applyBorder="1"/>
    <xf numFmtId="0" fontId="0" fillId="7" borderId="12" xfId="0" applyFont="1" applyFill="1" applyBorder="1"/>
    <xf numFmtId="0" fontId="0" fillId="7" borderId="8" xfId="0" applyFont="1" applyFill="1" applyBorder="1"/>
    <xf numFmtId="0" fontId="0" fillId="7" borderId="13" xfId="0" applyFont="1" applyFill="1" applyBorder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theme="4" tint="0.39997558519241921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60CE86-B85F-4794-8F9F-D0D7BB850C54}" name="Tabla1" displayName="Tabla1" ref="A1:F60" totalsRowCount="1" headerRowDxfId="36" headerRowBorderDxfId="35" tableBorderDxfId="34" totalsRowBorderDxfId="33">
  <autoFilter ref="A1:F59" xr:uid="{4860CE86-B85F-4794-8F9F-D0D7BB850C54}"/>
  <sortState xmlns:xlrd2="http://schemas.microsoft.com/office/spreadsheetml/2017/richdata2" ref="A2:F59">
    <sortCondition ref="C1:C59"/>
  </sortState>
  <tableColumns count="6">
    <tableColumn id="1" xr3:uid="{E447B06C-93DB-4610-97FB-06A21916569C}" name="Facultad" dataDxfId="32" totalsRowDxfId="31"/>
    <tableColumn id="2" xr3:uid="{97687BCB-DB8B-4114-ADB4-C9141376CDA6}" name="Carrera" dataDxfId="30" totalsRowDxfId="29"/>
    <tableColumn id="3" xr3:uid="{251EDE60-BE37-4E1E-A623-2DEA1DC2C35A}" name="Sede" dataDxfId="28" totalsRowDxfId="27"/>
    <tableColumn id="4" xr3:uid="{5117AFB7-179C-4CDA-86F5-3E53812169AB}" name="Mas" dataDxfId="26" totalsRowDxfId="25"/>
    <tableColumn id="5" xr3:uid="{32F2120A-D4A1-42BC-9934-D8D4E8F399CA}" name="Fem" dataDxfId="24" totalsRowDxfId="23"/>
    <tableColumn id="6" xr3:uid="{1B05BAFC-A054-447C-AD07-F6EE84E4A595}" name="Total" totalsRowFunction="custom" dataDxfId="22" totalsRowDxfId="21">
      <totalsRowFormula>SUM(F19:F59)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4588AA-B8C5-4998-9D97-8A8075766B92}" name="Tabla36" displayName="Tabla36" ref="A1:F20" totalsRowShown="0" headerRowDxfId="10" dataDxfId="9" headerRowBorderDxfId="7" tableBorderDxfId="8" totalsRowBorderDxfId="6">
  <autoFilter ref="A1:F20" xr:uid="{8C4588AA-B8C5-4998-9D97-8A8075766B92}"/>
  <sortState xmlns:xlrd2="http://schemas.microsoft.com/office/spreadsheetml/2017/richdata2" ref="A2:F20">
    <sortCondition ref="C25:C44"/>
  </sortState>
  <tableColumns count="6">
    <tableColumn id="1" xr3:uid="{44F40747-B8C5-44EB-86D3-FCFBD79E1D3B}" name="Facultad" dataDxfId="5"/>
    <tableColumn id="2" xr3:uid="{19552FEC-EBDB-40D2-AB28-3E94BCF10B96}" name="Carrera" dataDxfId="4"/>
    <tableColumn id="3" xr3:uid="{EEF64D70-BCF3-4826-9579-19C8B5A3ED71}" name="Sede" dataDxfId="3"/>
    <tableColumn id="4" xr3:uid="{5530B8E3-DE5C-499B-AB5E-8ACC1F768658}" name="Mas" dataDxfId="2"/>
    <tableColumn id="5" xr3:uid="{C017C340-436F-409E-8637-2E10F79F2526}" name="Fem" dataDxfId="1"/>
    <tableColumn id="6" xr3:uid="{AB874679-B5C0-4CC8-98A5-BB1AF3320D2B}" name="Total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9687B0-F4C6-4F8E-9F61-865EA5FA4F15}" name="Tabla25" displayName="Tabla25" ref="A1:F16" totalsRowShown="0" headerRowDxfId="20" headerRowBorderDxfId="18" tableBorderDxfId="19" totalsRowBorderDxfId="17">
  <autoFilter ref="A1:F16" xr:uid="{DC9687B0-F4C6-4F8E-9F61-865EA5FA4F15}"/>
  <sortState xmlns:xlrd2="http://schemas.microsoft.com/office/spreadsheetml/2017/richdata2" ref="A2:F16">
    <sortCondition ref="C1:C16"/>
  </sortState>
  <tableColumns count="6">
    <tableColumn id="1" xr3:uid="{58C98027-C186-44FF-90E7-4D218D57B10D}" name="Facultad" dataDxfId="16"/>
    <tableColumn id="2" xr3:uid="{052EBBC8-E2F6-4188-83FC-DA64D40DB75F}" name="Carrera" dataDxfId="15"/>
    <tableColumn id="3" xr3:uid="{FCBEB0CF-8A7F-4E26-9935-847E00F6A2B8}" name="Sede" dataDxfId="14"/>
    <tableColumn id="4" xr3:uid="{AEA1467B-5CD5-4B0E-B60A-30AB63A24F07}" name="Mas" dataDxfId="13"/>
    <tableColumn id="5" xr3:uid="{52D45630-46DF-4697-AC5F-5581FB7FB1E2}" name="Fem" dataDxfId="12"/>
    <tableColumn id="6" xr3:uid="{5A9874B6-F553-4682-A883-3527349623BA}" name="Total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82AD-7DC4-4298-91C6-E978C042EA7F}">
  <dimension ref="A1:N74"/>
  <sheetViews>
    <sheetView tabSelected="1" zoomScale="55" zoomScaleNormal="55" workbookViewId="0">
      <selection activeCell="P68" sqref="I1:P68"/>
    </sheetView>
  </sheetViews>
  <sheetFormatPr baseColWidth="10" defaultRowHeight="13.8"/>
  <cols>
    <col min="1" max="1" width="48.69921875" bestFit="1" customWidth="1"/>
    <col min="2" max="2" width="51.3984375" customWidth="1"/>
    <col min="3" max="3" width="15.59765625" bestFit="1" customWidth="1"/>
    <col min="4" max="4" width="6.09765625" customWidth="1"/>
    <col min="5" max="5" width="6.5" customWidth="1"/>
    <col min="6" max="6" width="6.8984375" customWidth="1"/>
    <col min="9" max="9" width="53" customWidth="1"/>
    <col min="10" max="10" width="32.5" customWidth="1"/>
  </cols>
  <sheetData>
    <row r="1" spans="1:14">
      <c r="A1" s="4" t="s">
        <v>117</v>
      </c>
      <c r="B1" s="5" t="s">
        <v>118</v>
      </c>
      <c r="C1" s="5" t="s">
        <v>119</v>
      </c>
      <c r="D1" s="5" t="s">
        <v>0</v>
      </c>
      <c r="E1" s="5" t="s">
        <v>1</v>
      </c>
      <c r="F1" s="6" t="s">
        <v>2</v>
      </c>
      <c r="I1" s="32"/>
      <c r="J1" s="32"/>
      <c r="K1" s="32"/>
      <c r="L1" s="32"/>
      <c r="M1" s="32"/>
      <c r="N1" s="32"/>
    </row>
    <row r="2" spans="1:14">
      <c r="A2" s="16" t="s">
        <v>27</v>
      </c>
      <c r="B2" s="17" t="s">
        <v>42</v>
      </c>
      <c r="C2" s="17" t="s">
        <v>45</v>
      </c>
      <c r="D2" s="17">
        <v>25</v>
      </c>
      <c r="E2" s="17">
        <v>4</v>
      </c>
      <c r="F2" s="18">
        <v>29</v>
      </c>
      <c r="I2" s="16"/>
      <c r="J2" s="17"/>
      <c r="K2" s="17"/>
      <c r="L2" s="17"/>
      <c r="M2" s="17"/>
      <c r="N2" s="18"/>
    </row>
    <row r="3" spans="1:14">
      <c r="A3" s="16" t="s">
        <v>27</v>
      </c>
      <c r="B3" s="17" t="s">
        <v>42</v>
      </c>
      <c r="C3" s="17" t="s">
        <v>43</v>
      </c>
      <c r="D3" s="17">
        <v>9</v>
      </c>
      <c r="E3" s="17">
        <v>13</v>
      </c>
      <c r="F3" s="18">
        <v>22</v>
      </c>
      <c r="I3" s="16"/>
      <c r="J3" s="17"/>
      <c r="K3" s="17"/>
      <c r="L3" s="17"/>
      <c r="M3" s="17"/>
      <c r="N3" s="18"/>
    </row>
    <row r="4" spans="1:14">
      <c r="A4" s="16" t="s">
        <v>27</v>
      </c>
      <c r="B4" s="17" t="s">
        <v>34</v>
      </c>
      <c r="C4" s="17" t="s">
        <v>35</v>
      </c>
      <c r="D4" s="17">
        <v>30</v>
      </c>
      <c r="E4" s="17">
        <v>34</v>
      </c>
      <c r="F4" s="18">
        <v>64</v>
      </c>
      <c r="I4" s="16"/>
      <c r="J4" s="17"/>
      <c r="K4" s="17"/>
      <c r="L4" s="17"/>
      <c r="M4" s="17"/>
      <c r="N4" s="18"/>
    </row>
    <row r="5" spans="1:14">
      <c r="A5" s="28" t="s">
        <v>105</v>
      </c>
      <c r="B5" s="29" t="s">
        <v>115</v>
      </c>
      <c r="C5" s="29" t="s">
        <v>35</v>
      </c>
      <c r="D5" s="29">
        <v>48</v>
      </c>
      <c r="E5" s="29">
        <v>1</v>
      </c>
      <c r="F5" s="30">
        <v>49</v>
      </c>
      <c r="I5" s="33"/>
      <c r="J5" s="34"/>
      <c r="K5" s="34"/>
      <c r="L5" s="34"/>
      <c r="M5" s="34"/>
      <c r="N5" s="35"/>
    </row>
    <row r="6" spans="1:14">
      <c r="A6" s="16" t="s">
        <v>27</v>
      </c>
      <c r="B6" s="17" t="s">
        <v>29</v>
      </c>
      <c r="C6" s="17" t="s">
        <v>30</v>
      </c>
      <c r="D6" s="17">
        <v>14</v>
      </c>
      <c r="E6" s="17">
        <v>12</v>
      </c>
      <c r="F6" s="18">
        <v>26</v>
      </c>
      <c r="I6" s="33"/>
      <c r="J6" s="34"/>
      <c r="K6" s="34"/>
      <c r="L6" s="34"/>
      <c r="M6" s="34"/>
      <c r="N6" s="35"/>
    </row>
    <row r="7" spans="1:14">
      <c r="A7" s="25" t="s">
        <v>97</v>
      </c>
      <c r="B7" s="26" t="s">
        <v>98</v>
      </c>
      <c r="C7" s="26" t="s">
        <v>99</v>
      </c>
      <c r="D7" s="26">
        <v>22</v>
      </c>
      <c r="E7" s="26">
        <v>42</v>
      </c>
      <c r="F7" s="27">
        <v>64</v>
      </c>
      <c r="I7" s="19"/>
      <c r="J7" s="20"/>
      <c r="K7" s="20"/>
      <c r="L7" s="20"/>
      <c r="M7" s="20"/>
      <c r="N7" s="21"/>
    </row>
    <row r="8" spans="1:14">
      <c r="A8" s="13" t="s">
        <v>8</v>
      </c>
      <c r="B8" s="14" t="s">
        <v>24</v>
      </c>
      <c r="C8" s="14" t="s">
        <v>25</v>
      </c>
      <c r="D8" s="14">
        <v>17</v>
      </c>
      <c r="E8" s="14">
        <v>5</v>
      </c>
      <c r="F8" s="15">
        <v>22</v>
      </c>
      <c r="I8" s="22"/>
      <c r="J8" s="23"/>
      <c r="K8" s="23"/>
      <c r="L8" s="23"/>
      <c r="M8" s="23"/>
      <c r="N8" s="24"/>
    </row>
    <row r="9" spans="1:14">
      <c r="A9" s="16" t="s">
        <v>27</v>
      </c>
      <c r="B9" s="17" t="s">
        <v>32</v>
      </c>
      <c r="C9" s="17" t="s">
        <v>25</v>
      </c>
      <c r="D9" s="17">
        <v>15</v>
      </c>
      <c r="E9" s="17">
        <v>6</v>
      </c>
      <c r="F9" s="18">
        <v>21</v>
      </c>
      <c r="I9" s="22"/>
      <c r="J9" s="23"/>
      <c r="K9" s="23"/>
      <c r="L9" s="23"/>
      <c r="M9" s="23"/>
      <c r="N9" s="24"/>
    </row>
    <row r="10" spans="1:14">
      <c r="A10" s="16" t="s">
        <v>27</v>
      </c>
      <c r="B10" s="17" t="s">
        <v>33</v>
      </c>
      <c r="C10" s="17" t="s">
        <v>25</v>
      </c>
      <c r="D10" s="17">
        <v>40</v>
      </c>
      <c r="E10" s="17">
        <v>21</v>
      </c>
      <c r="F10" s="18">
        <v>61</v>
      </c>
      <c r="I10" s="22"/>
      <c r="J10" s="23"/>
      <c r="K10" s="23"/>
      <c r="L10" s="23"/>
      <c r="M10" s="23"/>
      <c r="N10" s="24"/>
    </row>
    <row r="11" spans="1:14">
      <c r="A11" s="16" t="s">
        <v>27</v>
      </c>
      <c r="B11" s="17" t="s">
        <v>28</v>
      </c>
      <c r="C11" s="17" t="s">
        <v>25</v>
      </c>
      <c r="D11" s="17">
        <v>32</v>
      </c>
      <c r="E11" s="17">
        <v>70</v>
      </c>
      <c r="F11" s="18">
        <v>102</v>
      </c>
      <c r="I11" s="22"/>
      <c r="J11" s="23"/>
      <c r="K11" s="23"/>
      <c r="L11" s="23"/>
      <c r="M11" s="23"/>
      <c r="N11" s="24"/>
    </row>
    <row r="12" spans="1:14">
      <c r="A12" s="28" t="s">
        <v>105</v>
      </c>
      <c r="B12" s="29" t="s">
        <v>113</v>
      </c>
      <c r="C12" s="29" t="s">
        <v>25</v>
      </c>
      <c r="D12" s="29">
        <v>32</v>
      </c>
      <c r="E12" s="29">
        <v>1</v>
      </c>
      <c r="F12" s="30">
        <v>33</v>
      </c>
      <c r="I12" s="39"/>
      <c r="J12" s="40"/>
      <c r="K12" s="40"/>
      <c r="L12" s="40"/>
      <c r="M12" s="40"/>
      <c r="N12" s="41"/>
    </row>
    <row r="13" spans="1:14">
      <c r="A13" s="25" t="s">
        <v>97</v>
      </c>
      <c r="B13" s="26" t="s">
        <v>100</v>
      </c>
      <c r="C13" s="26" t="s">
        <v>54</v>
      </c>
      <c r="D13" s="26">
        <v>47</v>
      </c>
      <c r="E13" s="26">
        <v>29</v>
      </c>
      <c r="F13" s="27">
        <v>76</v>
      </c>
      <c r="I13" s="39"/>
      <c r="J13" s="40"/>
      <c r="K13" s="40"/>
      <c r="L13" s="40"/>
      <c r="M13" s="40"/>
      <c r="N13" s="41"/>
    </row>
    <row r="14" spans="1:14">
      <c r="A14" s="25" t="s">
        <v>97</v>
      </c>
      <c r="B14" s="26" t="s">
        <v>101</v>
      </c>
      <c r="C14" s="26" t="s">
        <v>54</v>
      </c>
      <c r="D14" s="26">
        <v>352</v>
      </c>
      <c r="E14" s="26">
        <v>179</v>
      </c>
      <c r="F14" s="27">
        <v>531</v>
      </c>
      <c r="I14" s="39"/>
      <c r="J14" s="40"/>
      <c r="K14" s="40"/>
      <c r="L14" s="40"/>
      <c r="M14" s="40"/>
      <c r="N14" s="41"/>
    </row>
    <row r="15" spans="1:14">
      <c r="A15" s="16" t="s">
        <v>27</v>
      </c>
      <c r="B15" s="17" t="s">
        <v>42</v>
      </c>
      <c r="C15" s="17" t="s">
        <v>44</v>
      </c>
      <c r="D15" s="17">
        <v>28</v>
      </c>
      <c r="E15" s="17">
        <v>22</v>
      </c>
      <c r="F15" s="18">
        <v>50</v>
      </c>
      <c r="I15" s="36"/>
      <c r="J15" s="37"/>
      <c r="K15" s="37"/>
      <c r="L15" s="37"/>
      <c r="M15" s="37"/>
      <c r="N15" s="38"/>
    </row>
    <row r="16" spans="1:14">
      <c r="A16" s="16" t="s">
        <v>27</v>
      </c>
      <c r="B16" s="17" t="s">
        <v>37</v>
      </c>
      <c r="C16" s="17" t="s">
        <v>38</v>
      </c>
      <c r="D16" s="17">
        <v>26</v>
      </c>
      <c r="E16" s="17">
        <v>12</v>
      </c>
      <c r="F16" s="18">
        <v>38</v>
      </c>
      <c r="I16" s="7"/>
      <c r="J16" s="8"/>
      <c r="K16" s="8"/>
      <c r="L16" s="8"/>
      <c r="M16" s="8"/>
      <c r="N16" s="9"/>
    </row>
    <row r="17" spans="1:14">
      <c r="A17" s="16" t="s">
        <v>27</v>
      </c>
      <c r="B17" s="17" t="s">
        <v>42</v>
      </c>
      <c r="C17" s="17" t="s">
        <v>38</v>
      </c>
      <c r="D17" s="17">
        <v>36</v>
      </c>
      <c r="E17" s="17">
        <v>12</v>
      </c>
      <c r="F17" s="18">
        <v>48</v>
      </c>
      <c r="I17" s="2"/>
      <c r="J17" s="1"/>
      <c r="K17" s="1"/>
      <c r="L17" s="1"/>
      <c r="M17" s="1"/>
      <c r="N17" s="3"/>
    </row>
    <row r="18" spans="1:14">
      <c r="A18" s="10" t="s">
        <v>3</v>
      </c>
      <c r="B18" s="11" t="s">
        <v>7</v>
      </c>
      <c r="C18" s="11" t="s">
        <v>5</v>
      </c>
      <c r="D18" s="11">
        <v>111</v>
      </c>
      <c r="E18" s="11">
        <v>226</v>
      </c>
      <c r="F18" s="12">
        <v>337</v>
      </c>
      <c r="I18" s="2"/>
      <c r="J18" s="1"/>
      <c r="K18" s="1"/>
      <c r="L18" s="1"/>
      <c r="M18" s="1"/>
      <c r="N18" s="3"/>
    </row>
    <row r="19" spans="1:14">
      <c r="A19" s="10" t="s">
        <v>3</v>
      </c>
      <c r="B19" s="11" t="s">
        <v>6</v>
      </c>
      <c r="C19" s="11" t="s">
        <v>5</v>
      </c>
      <c r="D19" s="11">
        <v>236</v>
      </c>
      <c r="E19" s="11">
        <v>249</v>
      </c>
      <c r="F19" s="12">
        <v>485</v>
      </c>
      <c r="I19" s="2"/>
      <c r="J19" s="1"/>
      <c r="K19" s="1"/>
      <c r="L19" s="1"/>
      <c r="M19" s="1"/>
      <c r="N19" s="3"/>
    </row>
    <row r="20" spans="1:14">
      <c r="A20" s="10" t="s">
        <v>3</v>
      </c>
      <c r="B20" s="11" t="s">
        <v>4</v>
      </c>
      <c r="C20" s="11" t="s">
        <v>5</v>
      </c>
      <c r="D20" s="11">
        <v>427</v>
      </c>
      <c r="E20" s="11">
        <v>402</v>
      </c>
      <c r="F20" s="12">
        <v>829</v>
      </c>
      <c r="I20" s="2"/>
      <c r="J20" s="1"/>
      <c r="K20" s="1"/>
      <c r="L20" s="1"/>
      <c r="M20" s="1"/>
      <c r="N20" s="3"/>
    </row>
    <row r="21" spans="1:14">
      <c r="A21" s="13" t="s">
        <v>8</v>
      </c>
      <c r="B21" s="14" t="s">
        <v>12</v>
      </c>
      <c r="C21" s="14" t="s">
        <v>5</v>
      </c>
      <c r="D21" s="14">
        <v>8</v>
      </c>
      <c r="E21" s="14">
        <v>2</v>
      </c>
      <c r="F21" s="15">
        <v>10</v>
      </c>
      <c r="I21" s="2"/>
      <c r="J21" s="1"/>
      <c r="K21" s="1"/>
      <c r="L21" s="1"/>
      <c r="M21" s="1"/>
      <c r="N21" s="3"/>
    </row>
    <row r="22" spans="1:14">
      <c r="A22" s="13" t="s">
        <v>8</v>
      </c>
      <c r="B22" s="14" t="s">
        <v>20</v>
      </c>
      <c r="C22" s="14" t="s">
        <v>5</v>
      </c>
      <c r="D22" s="14">
        <v>33</v>
      </c>
      <c r="E22" s="14">
        <v>6</v>
      </c>
      <c r="F22" s="15">
        <v>39</v>
      </c>
      <c r="I22" s="2"/>
      <c r="J22" s="1"/>
      <c r="K22" s="1"/>
      <c r="L22" s="1"/>
      <c r="M22" s="1"/>
      <c r="N22" s="3"/>
    </row>
    <row r="23" spans="1:14">
      <c r="A23" s="13" t="s">
        <v>8</v>
      </c>
      <c r="B23" s="14" t="s">
        <v>24</v>
      </c>
      <c r="C23" s="14" t="s">
        <v>5</v>
      </c>
      <c r="D23" s="14">
        <v>30</v>
      </c>
      <c r="E23" s="14">
        <v>13</v>
      </c>
      <c r="F23" s="15">
        <v>43</v>
      </c>
      <c r="I23" s="2"/>
      <c r="J23" s="1"/>
      <c r="K23" s="1"/>
      <c r="L23" s="1"/>
      <c r="M23" s="1"/>
      <c r="N23" s="3"/>
    </row>
    <row r="24" spans="1:14">
      <c r="A24" s="13" t="s">
        <v>8</v>
      </c>
      <c r="B24" s="14" t="s">
        <v>15</v>
      </c>
      <c r="C24" s="14" t="s">
        <v>5</v>
      </c>
      <c r="D24" s="14">
        <v>55</v>
      </c>
      <c r="E24" s="14">
        <v>16</v>
      </c>
      <c r="F24" s="15">
        <v>71</v>
      </c>
      <c r="I24" s="2"/>
      <c r="J24" s="1"/>
      <c r="K24" s="1"/>
      <c r="L24" s="1"/>
      <c r="M24" s="1"/>
      <c r="N24" s="3"/>
    </row>
    <row r="25" spans="1:14">
      <c r="A25" s="13" t="s">
        <v>8</v>
      </c>
      <c r="B25" s="14" t="s">
        <v>14</v>
      </c>
      <c r="C25" s="14" t="s">
        <v>5</v>
      </c>
      <c r="D25" s="14">
        <v>38</v>
      </c>
      <c r="E25" s="14">
        <v>52</v>
      </c>
      <c r="F25" s="15">
        <v>90</v>
      </c>
      <c r="I25" s="32"/>
      <c r="J25" s="32"/>
      <c r="K25" s="32"/>
      <c r="L25" s="32"/>
      <c r="M25" s="32"/>
      <c r="N25" s="32"/>
    </row>
    <row r="26" spans="1:14">
      <c r="A26" s="13" t="s">
        <v>8</v>
      </c>
      <c r="B26" s="14" t="s">
        <v>18</v>
      </c>
      <c r="C26" s="14" t="s">
        <v>5</v>
      </c>
      <c r="D26" s="14">
        <v>27</v>
      </c>
      <c r="E26" s="14">
        <v>85</v>
      </c>
      <c r="F26" s="15">
        <v>112</v>
      </c>
      <c r="I26" s="42"/>
      <c r="J26" s="43"/>
      <c r="K26" s="43"/>
      <c r="L26" s="43"/>
      <c r="M26" s="43"/>
      <c r="N26" s="44"/>
    </row>
    <row r="27" spans="1:14">
      <c r="A27" s="13" t="s">
        <v>8</v>
      </c>
      <c r="B27" s="14" t="s">
        <v>21</v>
      </c>
      <c r="C27" s="14" t="s">
        <v>5</v>
      </c>
      <c r="D27" s="14">
        <v>112</v>
      </c>
      <c r="E27" s="14">
        <v>37</v>
      </c>
      <c r="F27" s="15">
        <v>149</v>
      </c>
      <c r="I27" s="45"/>
      <c r="J27" s="46"/>
      <c r="K27" s="46"/>
      <c r="L27" s="46"/>
      <c r="M27" s="46"/>
      <c r="N27" s="47"/>
    </row>
    <row r="28" spans="1:14">
      <c r="A28" s="13" t="s">
        <v>8</v>
      </c>
      <c r="B28" s="14" t="s">
        <v>11</v>
      </c>
      <c r="C28" s="14" t="s">
        <v>5</v>
      </c>
      <c r="D28" s="14">
        <v>73</v>
      </c>
      <c r="E28" s="14">
        <v>118</v>
      </c>
      <c r="F28" s="15">
        <v>191</v>
      </c>
      <c r="I28" s="42"/>
      <c r="J28" s="43"/>
      <c r="K28" s="43"/>
      <c r="L28" s="43"/>
      <c r="M28" s="43"/>
      <c r="N28" s="44"/>
    </row>
    <row r="29" spans="1:14">
      <c r="A29" s="13" t="s">
        <v>8</v>
      </c>
      <c r="B29" s="14" t="s">
        <v>16</v>
      </c>
      <c r="C29" s="14" t="s">
        <v>5</v>
      </c>
      <c r="D29" s="14">
        <v>238</v>
      </c>
      <c r="E29" s="14">
        <v>51</v>
      </c>
      <c r="F29" s="15">
        <v>289</v>
      </c>
      <c r="I29" s="42"/>
      <c r="J29" s="43"/>
      <c r="K29" s="43"/>
      <c r="L29" s="43"/>
      <c r="M29" s="43"/>
      <c r="N29" s="44"/>
    </row>
    <row r="30" spans="1:14">
      <c r="A30" s="13" t="s">
        <v>8</v>
      </c>
      <c r="B30" s="14" t="s">
        <v>19</v>
      </c>
      <c r="C30" s="14" t="s">
        <v>5</v>
      </c>
      <c r="D30" s="14">
        <v>215</v>
      </c>
      <c r="E30" s="14">
        <v>114</v>
      </c>
      <c r="F30" s="15">
        <v>329</v>
      </c>
      <c r="I30" s="45"/>
      <c r="J30" s="46"/>
      <c r="K30" s="46"/>
      <c r="L30" s="46"/>
      <c r="M30" s="46"/>
      <c r="N30" s="47"/>
    </row>
    <row r="31" spans="1:14">
      <c r="A31" s="13" t="s">
        <v>8</v>
      </c>
      <c r="B31" s="14" t="s">
        <v>9</v>
      </c>
      <c r="C31" s="14" t="s">
        <v>5</v>
      </c>
      <c r="D31" s="14">
        <v>88</v>
      </c>
      <c r="E31" s="14">
        <v>259</v>
      </c>
      <c r="F31" s="15">
        <v>347</v>
      </c>
      <c r="I31" s="42"/>
      <c r="J31" s="43"/>
      <c r="K31" s="43"/>
      <c r="L31" s="43"/>
      <c r="M31" s="43"/>
      <c r="N31" s="44"/>
    </row>
    <row r="32" spans="1:14">
      <c r="A32" s="13" t="s">
        <v>8</v>
      </c>
      <c r="B32" s="14" t="s">
        <v>10</v>
      </c>
      <c r="C32" s="14" t="s">
        <v>5</v>
      </c>
      <c r="D32" s="14">
        <v>273</v>
      </c>
      <c r="E32" s="14">
        <v>80</v>
      </c>
      <c r="F32" s="15">
        <v>353</v>
      </c>
      <c r="I32" s="45"/>
      <c r="J32" s="46"/>
      <c r="K32" s="46"/>
      <c r="L32" s="46"/>
      <c r="M32" s="46"/>
      <c r="N32" s="47"/>
    </row>
    <row r="33" spans="1:14">
      <c r="A33" s="13" t="s">
        <v>8</v>
      </c>
      <c r="B33" s="14" t="s">
        <v>23</v>
      </c>
      <c r="C33" s="14" t="s">
        <v>5</v>
      </c>
      <c r="D33" s="14">
        <v>159</v>
      </c>
      <c r="E33" s="14">
        <v>207</v>
      </c>
      <c r="F33" s="15">
        <v>366</v>
      </c>
      <c r="I33" s="45"/>
      <c r="J33" s="46"/>
      <c r="K33" s="46"/>
      <c r="L33" s="46"/>
      <c r="M33" s="46"/>
      <c r="N33" s="47"/>
    </row>
    <row r="34" spans="1:14">
      <c r="A34" s="13" t="s">
        <v>8</v>
      </c>
      <c r="B34" s="14" t="s">
        <v>17</v>
      </c>
      <c r="C34" s="14" t="s">
        <v>5</v>
      </c>
      <c r="D34" s="14">
        <v>233</v>
      </c>
      <c r="E34" s="14">
        <v>146</v>
      </c>
      <c r="F34" s="15">
        <v>379</v>
      </c>
      <c r="I34" s="45"/>
      <c r="J34" s="46"/>
      <c r="K34" s="46"/>
      <c r="L34" s="46"/>
      <c r="M34" s="46"/>
      <c r="N34" s="47"/>
    </row>
    <row r="35" spans="1:14">
      <c r="A35" s="13" t="s">
        <v>8</v>
      </c>
      <c r="B35" s="14" t="s">
        <v>26</v>
      </c>
      <c r="C35" s="14" t="s">
        <v>5</v>
      </c>
      <c r="D35" s="14">
        <v>195</v>
      </c>
      <c r="E35" s="14">
        <v>307</v>
      </c>
      <c r="F35" s="15">
        <v>502</v>
      </c>
      <c r="I35" s="45"/>
      <c r="J35" s="46"/>
      <c r="K35" s="46"/>
      <c r="L35" s="46"/>
      <c r="M35" s="46"/>
      <c r="N35" s="47"/>
    </row>
    <row r="36" spans="1:14">
      <c r="A36" s="13" t="s">
        <v>8</v>
      </c>
      <c r="B36" s="14" t="s">
        <v>22</v>
      </c>
      <c r="C36" s="14" t="s">
        <v>5</v>
      </c>
      <c r="D36" s="14">
        <v>318</v>
      </c>
      <c r="E36" s="14">
        <v>266</v>
      </c>
      <c r="F36" s="15">
        <v>584</v>
      </c>
      <c r="I36" s="48"/>
      <c r="J36" s="49"/>
      <c r="K36" s="49"/>
      <c r="L36" s="49"/>
      <c r="M36" s="49"/>
      <c r="N36" s="50"/>
    </row>
    <row r="37" spans="1:14">
      <c r="A37" s="13" t="s">
        <v>8</v>
      </c>
      <c r="B37" s="14" t="s">
        <v>13</v>
      </c>
      <c r="C37" s="14" t="s">
        <v>5</v>
      </c>
      <c r="D37" s="14">
        <v>888</v>
      </c>
      <c r="E37" s="14">
        <v>246</v>
      </c>
      <c r="F37" s="15">
        <v>1134</v>
      </c>
      <c r="I37" s="48"/>
      <c r="J37" s="49"/>
      <c r="K37" s="49"/>
      <c r="L37" s="49"/>
      <c r="M37" s="49"/>
      <c r="N37" s="50"/>
    </row>
    <row r="38" spans="1:14">
      <c r="A38" s="16" t="s">
        <v>27</v>
      </c>
      <c r="B38" s="17" t="s">
        <v>39</v>
      </c>
      <c r="C38" s="17" t="s">
        <v>5</v>
      </c>
      <c r="D38" s="17">
        <v>3</v>
      </c>
      <c r="E38" s="17">
        <v>5</v>
      </c>
      <c r="F38" s="18">
        <v>8</v>
      </c>
      <c r="I38" s="51"/>
      <c r="J38" s="52"/>
      <c r="K38" s="52"/>
      <c r="L38" s="52"/>
      <c r="M38" s="52"/>
      <c r="N38" s="53"/>
    </row>
    <row r="39" spans="1:14">
      <c r="A39" s="16" t="s">
        <v>27</v>
      </c>
      <c r="B39" s="17" t="s">
        <v>41</v>
      </c>
      <c r="C39" s="17" t="s">
        <v>5</v>
      </c>
      <c r="D39" s="17">
        <v>11</v>
      </c>
      <c r="E39" s="17">
        <v>3</v>
      </c>
      <c r="F39" s="18">
        <v>14</v>
      </c>
      <c r="I39" s="48"/>
      <c r="J39" s="49"/>
      <c r="K39" s="49"/>
      <c r="L39" s="49"/>
      <c r="M39" s="49"/>
      <c r="N39" s="50"/>
    </row>
    <row r="40" spans="1:14">
      <c r="A40" s="16" t="s">
        <v>27</v>
      </c>
      <c r="B40" s="17" t="s">
        <v>40</v>
      </c>
      <c r="C40" s="17" t="s">
        <v>5</v>
      </c>
      <c r="D40" s="17">
        <v>12</v>
      </c>
      <c r="E40" s="17">
        <v>27</v>
      </c>
      <c r="F40" s="18">
        <v>39</v>
      </c>
      <c r="I40" s="54"/>
      <c r="J40" s="55"/>
      <c r="K40" s="55"/>
      <c r="L40" s="55"/>
      <c r="M40" s="55"/>
      <c r="N40" s="56"/>
    </row>
    <row r="41" spans="1:14">
      <c r="A41" s="16" t="s">
        <v>27</v>
      </c>
      <c r="B41" s="17" t="s">
        <v>36</v>
      </c>
      <c r="C41" s="17" t="s">
        <v>5</v>
      </c>
      <c r="D41" s="17">
        <v>195</v>
      </c>
      <c r="E41" s="17">
        <v>101</v>
      </c>
      <c r="F41" s="18">
        <v>296</v>
      </c>
      <c r="I41" s="57"/>
      <c r="J41" s="58"/>
      <c r="K41" s="58"/>
      <c r="L41" s="58"/>
      <c r="M41" s="58"/>
      <c r="N41" s="59"/>
    </row>
    <row r="42" spans="1:14">
      <c r="A42" s="16" t="s">
        <v>27</v>
      </c>
      <c r="B42" s="17" t="s">
        <v>31</v>
      </c>
      <c r="C42" s="17" t="s">
        <v>5</v>
      </c>
      <c r="D42" s="17">
        <v>216</v>
      </c>
      <c r="E42" s="17">
        <v>97</v>
      </c>
      <c r="F42" s="18">
        <v>313</v>
      </c>
      <c r="I42" s="54"/>
      <c r="J42" s="55"/>
      <c r="K42" s="55"/>
      <c r="L42" s="55"/>
      <c r="M42" s="55"/>
      <c r="N42" s="56"/>
    </row>
    <row r="43" spans="1:14">
      <c r="A43" s="19" t="s">
        <v>89</v>
      </c>
      <c r="B43" s="20" t="s">
        <v>89</v>
      </c>
      <c r="C43" s="20" t="s">
        <v>5</v>
      </c>
      <c r="D43" s="20">
        <v>1196</v>
      </c>
      <c r="E43" s="20">
        <v>313</v>
      </c>
      <c r="F43" s="21">
        <v>1509</v>
      </c>
      <c r="I43" s="57"/>
      <c r="J43" s="58"/>
      <c r="K43" s="58"/>
      <c r="L43" s="58"/>
      <c r="M43" s="58"/>
      <c r="N43" s="59"/>
    </row>
    <row r="44" spans="1:14">
      <c r="A44" s="22" t="s">
        <v>90</v>
      </c>
      <c r="B44" s="23" t="s">
        <v>94</v>
      </c>
      <c r="C44" s="23" t="s">
        <v>5</v>
      </c>
      <c r="D44" s="23">
        <v>148</v>
      </c>
      <c r="E44" s="23">
        <v>21</v>
      </c>
      <c r="F44" s="24">
        <v>169</v>
      </c>
      <c r="I44" s="60"/>
      <c r="J44" s="61"/>
      <c r="K44" s="61"/>
      <c r="L44" s="61"/>
      <c r="M44" s="61"/>
      <c r="N44" s="62"/>
    </row>
    <row r="45" spans="1:14">
      <c r="A45" s="22" t="s">
        <v>90</v>
      </c>
      <c r="B45" s="23" t="s">
        <v>91</v>
      </c>
      <c r="C45" s="23" t="s">
        <v>5</v>
      </c>
      <c r="D45" s="23">
        <v>134</v>
      </c>
      <c r="E45" s="23">
        <v>86</v>
      </c>
      <c r="F45" s="24">
        <v>220</v>
      </c>
    </row>
    <row r="46" spans="1:14">
      <c r="A46" s="22" t="s">
        <v>90</v>
      </c>
      <c r="B46" s="23" t="s">
        <v>96</v>
      </c>
      <c r="C46" s="23" t="s">
        <v>5</v>
      </c>
      <c r="D46" s="23">
        <v>237</v>
      </c>
      <c r="E46" s="23">
        <v>38</v>
      </c>
      <c r="F46" s="24">
        <v>275</v>
      </c>
    </row>
    <row r="47" spans="1:14">
      <c r="A47" s="22" t="s">
        <v>90</v>
      </c>
      <c r="B47" s="23" t="s">
        <v>95</v>
      </c>
      <c r="C47" s="23" t="s">
        <v>5</v>
      </c>
      <c r="D47" s="23">
        <v>279</v>
      </c>
      <c r="E47" s="23">
        <v>9</v>
      </c>
      <c r="F47" s="24">
        <v>288</v>
      </c>
    </row>
    <row r="48" spans="1:14">
      <c r="A48" s="22" t="s">
        <v>90</v>
      </c>
      <c r="B48" s="23" t="s">
        <v>92</v>
      </c>
      <c r="C48" s="23" t="s">
        <v>5</v>
      </c>
      <c r="D48" s="23">
        <v>294</v>
      </c>
      <c r="E48" s="23">
        <v>32</v>
      </c>
      <c r="F48" s="24">
        <v>326</v>
      </c>
      <c r="I48" s="31"/>
      <c r="J48" s="31"/>
      <c r="K48" s="31"/>
      <c r="L48" s="31"/>
      <c r="M48" s="31"/>
      <c r="N48" s="31"/>
    </row>
    <row r="49" spans="1:14">
      <c r="A49" s="22" t="s">
        <v>90</v>
      </c>
      <c r="B49" s="23" t="s">
        <v>93</v>
      </c>
      <c r="C49" s="23" t="s">
        <v>5</v>
      </c>
      <c r="D49" s="23">
        <v>379</v>
      </c>
      <c r="E49" s="23">
        <v>17</v>
      </c>
      <c r="F49" s="24">
        <v>396</v>
      </c>
      <c r="I49" s="2"/>
      <c r="J49" s="1"/>
      <c r="K49" s="1"/>
      <c r="L49" s="1"/>
      <c r="M49" s="1"/>
      <c r="N49" s="3"/>
    </row>
    <row r="50" spans="1:14">
      <c r="A50" s="28" t="s">
        <v>105</v>
      </c>
      <c r="B50" s="29" t="s">
        <v>114</v>
      </c>
      <c r="C50" s="29" t="s">
        <v>5</v>
      </c>
      <c r="D50" s="29">
        <v>2</v>
      </c>
      <c r="E50" s="29">
        <v>0</v>
      </c>
      <c r="F50" s="30">
        <v>2</v>
      </c>
      <c r="I50" s="2"/>
      <c r="J50" s="1"/>
      <c r="K50" s="1"/>
      <c r="L50" s="1"/>
      <c r="M50" s="1"/>
      <c r="N50" s="3"/>
    </row>
    <row r="51" spans="1:14">
      <c r="A51" s="28" t="s">
        <v>105</v>
      </c>
      <c r="B51" s="29" t="s">
        <v>109</v>
      </c>
      <c r="C51" s="29" t="s">
        <v>5</v>
      </c>
      <c r="D51" s="29">
        <v>11</v>
      </c>
      <c r="E51" s="29">
        <v>2</v>
      </c>
      <c r="F51" s="30">
        <v>13</v>
      </c>
      <c r="I51" s="2"/>
      <c r="J51" s="1"/>
      <c r="K51" s="1"/>
      <c r="L51" s="1"/>
      <c r="M51" s="1"/>
      <c r="N51" s="3"/>
    </row>
    <row r="52" spans="1:14">
      <c r="A52" s="28" t="s">
        <v>105</v>
      </c>
      <c r="B52" s="29" t="s">
        <v>110</v>
      </c>
      <c r="C52" s="29" t="s">
        <v>5</v>
      </c>
      <c r="D52" s="29">
        <v>59</v>
      </c>
      <c r="E52" s="29">
        <v>12</v>
      </c>
      <c r="F52" s="30">
        <v>71</v>
      </c>
      <c r="I52" s="2"/>
      <c r="J52" s="1"/>
      <c r="K52" s="1"/>
      <c r="L52" s="1"/>
      <c r="M52" s="1"/>
      <c r="N52" s="3"/>
    </row>
    <row r="53" spans="1:14">
      <c r="A53" s="28" t="s">
        <v>105</v>
      </c>
      <c r="B53" s="29" t="s">
        <v>108</v>
      </c>
      <c r="C53" s="29" t="s">
        <v>5</v>
      </c>
      <c r="D53" s="29">
        <v>154</v>
      </c>
      <c r="E53" s="29">
        <v>13</v>
      </c>
      <c r="F53" s="30">
        <v>167</v>
      </c>
      <c r="I53" s="2"/>
      <c r="J53" s="1"/>
      <c r="K53" s="1"/>
      <c r="L53" s="1"/>
      <c r="M53" s="1"/>
      <c r="N53" s="3"/>
    </row>
    <row r="54" spans="1:14">
      <c r="A54" s="28" t="s">
        <v>105</v>
      </c>
      <c r="B54" s="29" t="s">
        <v>106</v>
      </c>
      <c r="C54" s="29" t="s">
        <v>5</v>
      </c>
      <c r="D54" s="29">
        <v>194</v>
      </c>
      <c r="E54" s="29">
        <v>26</v>
      </c>
      <c r="F54" s="30">
        <v>220</v>
      </c>
      <c r="I54" s="2"/>
      <c r="J54" s="1"/>
      <c r="K54" s="1"/>
      <c r="L54" s="1"/>
      <c r="M54" s="1"/>
      <c r="N54" s="3"/>
    </row>
    <row r="55" spans="1:14">
      <c r="A55" s="28" t="s">
        <v>105</v>
      </c>
      <c r="B55" s="29" t="s">
        <v>116</v>
      </c>
      <c r="C55" s="29" t="s">
        <v>5</v>
      </c>
      <c r="D55" s="29">
        <v>211</v>
      </c>
      <c r="E55" s="29">
        <v>38</v>
      </c>
      <c r="F55" s="30">
        <v>249</v>
      </c>
      <c r="I55" s="2"/>
      <c r="J55" s="1"/>
      <c r="K55" s="1"/>
      <c r="L55" s="1"/>
      <c r="M55" s="1"/>
      <c r="N55" s="3"/>
    </row>
    <row r="56" spans="1:14">
      <c r="A56" s="28" t="s">
        <v>105</v>
      </c>
      <c r="B56" s="29" t="s">
        <v>107</v>
      </c>
      <c r="C56" s="29" t="s">
        <v>5</v>
      </c>
      <c r="D56" s="29">
        <v>263</v>
      </c>
      <c r="E56" s="29">
        <v>9</v>
      </c>
      <c r="F56" s="30">
        <v>272</v>
      </c>
      <c r="I56" s="2"/>
      <c r="J56" s="1"/>
      <c r="K56" s="1"/>
      <c r="L56" s="1"/>
      <c r="M56" s="1"/>
      <c r="N56" s="3"/>
    </row>
    <row r="57" spans="1:14">
      <c r="A57" s="28" t="s">
        <v>105</v>
      </c>
      <c r="B57" s="29" t="s">
        <v>112</v>
      </c>
      <c r="C57" s="29" t="s">
        <v>5</v>
      </c>
      <c r="D57" s="29">
        <v>268</v>
      </c>
      <c r="E57" s="29">
        <v>13</v>
      </c>
      <c r="F57" s="30">
        <v>281</v>
      </c>
      <c r="I57" s="2"/>
      <c r="J57" s="1"/>
      <c r="K57" s="1"/>
      <c r="L57" s="1"/>
      <c r="M57" s="1"/>
      <c r="N57" s="3"/>
    </row>
    <row r="58" spans="1:14">
      <c r="A58" s="28" t="s">
        <v>105</v>
      </c>
      <c r="B58" s="29" t="s">
        <v>111</v>
      </c>
      <c r="C58" s="29" t="s">
        <v>5</v>
      </c>
      <c r="D58" s="29">
        <v>490</v>
      </c>
      <c r="E58" s="29">
        <v>11</v>
      </c>
      <c r="F58" s="30">
        <v>501</v>
      </c>
      <c r="I58" s="2"/>
      <c r="J58" s="1"/>
      <c r="K58" s="1"/>
      <c r="L58" s="1"/>
      <c r="M58" s="1"/>
      <c r="N58" s="3"/>
    </row>
    <row r="59" spans="1:14">
      <c r="A59" s="16"/>
      <c r="B59" s="17"/>
      <c r="C59" s="17"/>
      <c r="D59" s="17"/>
      <c r="E59" s="17"/>
      <c r="F59" s="18">
        <f>SUM(F43:F58)</f>
        <v>4959</v>
      </c>
      <c r="I59" s="2"/>
      <c r="J59" s="1"/>
      <c r="K59" s="1"/>
      <c r="L59" s="1"/>
      <c r="M59" s="1"/>
      <c r="N59" s="3"/>
    </row>
    <row r="60" spans="1:14">
      <c r="A60" s="7"/>
      <c r="B60" s="8"/>
      <c r="C60" s="8"/>
      <c r="D60" s="8"/>
      <c r="E60" s="8"/>
      <c r="F60" s="9">
        <f>SUM(F19:F59)</f>
        <v>16890</v>
      </c>
      <c r="I60" s="2"/>
      <c r="J60" s="1"/>
      <c r="K60" s="1"/>
      <c r="L60" s="1"/>
      <c r="M60" s="1"/>
      <c r="N60" s="3"/>
    </row>
    <row r="61" spans="1:14">
      <c r="A61" s="2"/>
      <c r="B61" s="1"/>
      <c r="C61" s="1"/>
      <c r="D61" s="1"/>
      <c r="E61" s="1"/>
      <c r="F61" s="3"/>
      <c r="I61" s="2"/>
      <c r="J61" s="1"/>
      <c r="K61" s="1"/>
      <c r="L61" s="1"/>
      <c r="M61" s="1"/>
      <c r="N61" s="3"/>
    </row>
    <row r="62" spans="1:14">
      <c r="A62" s="2"/>
      <c r="B62" s="1"/>
      <c r="C62" s="1"/>
      <c r="D62" s="1"/>
      <c r="E62" s="1"/>
      <c r="F62" s="3"/>
    </row>
    <row r="63" spans="1:14">
      <c r="A63" s="2"/>
      <c r="B63" s="1"/>
      <c r="C63" s="1"/>
      <c r="D63" s="1"/>
      <c r="E63" s="1"/>
      <c r="F63" s="3"/>
    </row>
    <row r="64" spans="1:14">
      <c r="A64" s="2"/>
      <c r="B64" s="1"/>
      <c r="C64" s="1"/>
      <c r="D64" s="1"/>
      <c r="E64" s="1"/>
      <c r="F64" s="3"/>
    </row>
    <row r="65" spans="1:6">
      <c r="A65" s="2"/>
      <c r="B65" s="1"/>
      <c r="C65" s="1"/>
      <c r="D65" s="1"/>
      <c r="E65" s="1"/>
      <c r="F65" s="3"/>
    </row>
    <row r="66" spans="1:6">
      <c r="A66" s="2"/>
      <c r="B66" s="1"/>
      <c r="C66" s="1"/>
      <c r="D66" s="1"/>
      <c r="E66" s="1"/>
      <c r="F66" s="3"/>
    </row>
    <row r="67" spans="1:6">
      <c r="A67" s="2"/>
      <c r="B67" s="1"/>
      <c r="C67" s="1"/>
      <c r="D67" s="1"/>
      <c r="E67" s="1"/>
      <c r="F67" s="3"/>
    </row>
    <row r="68" spans="1:6">
      <c r="A68" s="2"/>
      <c r="B68" s="1"/>
      <c r="C68" s="1"/>
      <c r="D68" s="1"/>
      <c r="E68" s="1"/>
      <c r="F68" s="3"/>
    </row>
    <row r="69" spans="1:6">
      <c r="A69" s="2"/>
      <c r="B69" s="1"/>
      <c r="C69" s="1"/>
      <c r="D69" s="1"/>
      <c r="E69" s="1"/>
      <c r="F69" s="3"/>
    </row>
    <row r="70" spans="1:6">
      <c r="A70" s="2"/>
      <c r="B70" s="1"/>
      <c r="C70" s="1"/>
      <c r="D70" s="1"/>
      <c r="E70" s="1"/>
      <c r="F70" s="3"/>
    </row>
    <row r="71" spans="1:6">
      <c r="A71" s="2"/>
      <c r="B71" s="1"/>
      <c r="C71" s="1"/>
      <c r="D71" s="1"/>
      <c r="E71" s="1"/>
      <c r="F71" s="3"/>
    </row>
    <row r="72" spans="1:6">
      <c r="A72" s="2"/>
      <c r="B72" s="1"/>
      <c r="C72" s="1"/>
      <c r="D72" s="1"/>
      <c r="E72" s="1"/>
      <c r="F72" s="3"/>
    </row>
    <row r="73" spans="1:6">
      <c r="A73" s="2"/>
      <c r="B73" s="1"/>
      <c r="C73" s="1"/>
      <c r="D73" s="1"/>
      <c r="E73" s="1"/>
      <c r="F73" s="3"/>
    </row>
    <row r="74" spans="1:6">
      <c r="A74" s="7"/>
      <c r="B74" s="8"/>
      <c r="C74" s="8"/>
      <c r="D74" s="8"/>
      <c r="E74" s="8"/>
      <c r="F74" s="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D1C0-01A6-4FB8-8DF8-8E381F5C6A50}">
  <dimension ref="A1:F14"/>
  <sheetViews>
    <sheetView workbookViewId="0">
      <selection sqref="A1:F14"/>
    </sheetView>
  </sheetViews>
  <sheetFormatPr baseColWidth="10" defaultRowHeight="13.8"/>
  <sheetData>
    <row r="1" spans="1:6">
      <c r="A1" s="31" t="s">
        <v>117</v>
      </c>
      <c r="B1" s="31" t="s">
        <v>118</v>
      </c>
      <c r="C1" s="31" t="s">
        <v>119</v>
      </c>
      <c r="D1" s="31" t="s">
        <v>0</v>
      </c>
      <c r="E1" s="31" t="s">
        <v>1</v>
      </c>
      <c r="F1" s="31" t="s">
        <v>2</v>
      </c>
    </row>
    <row r="2" spans="1:6">
      <c r="A2" s="2" t="s">
        <v>75</v>
      </c>
      <c r="B2" s="1" t="s">
        <v>78</v>
      </c>
      <c r="C2" s="1" t="s">
        <v>5</v>
      </c>
      <c r="D2" s="1">
        <v>1608</v>
      </c>
      <c r="E2" s="1">
        <v>1813</v>
      </c>
      <c r="F2" s="3">
        <v>3421</v>
      </c>
    </row>
    <row r="3" spans="1:6">
      <c r="A3" s="2" t="s">
        <v>75</v>
      </c>
      <c r="B3" s="1" t="s">
        <v>77</v>
      </c>
      <c r="C3" s="1" t="s">
        <v>5</v>
      </c>
      <c r="D3" s="1">
        <v>237</v>
      </c>
      <c r="E3" s="1">
        <v>274</v>
      </c>
      <c r="F3" s="3">
        <v>511</v>
      </c>
    </row>
    <row r="4" spans="1:6">
      <c r="A4" s="2" t="s">
        <v>75</v>
      </c>
      <c r="B4" s="1" t="s">
        <v>80</v>
      </c>
      <c r="C4" s="1" t="s">
        <v>5</v>
      </c>
      <c r="D4" s="1">
        <v>139</v>
      </c>
      <c r="E4" s="1">
        <v>167</v>
      </c>
      <c r="F4" s="3">
        <v>306</v>
      </c>
    </row>
    <row r="5" spans="1:6">
      <c r="A5" s="2" t="s">
        <v>75</v>
      </c>
      <c r="B5" s="1" t="s">
        <v>78</v>
      </c>
      <c r="C5" s="1" t="s">
        <v>54</v>
      </c>
      <c r="D5" s="1">
        <v>93</v>
      </c>
      <c r="E5" s="1">
        <v>110</v>
      </c>
      <c r="F5" s="3">
        <v>203</v>
      </c>
    </row>
    <row r="6" spans="1:6">
      <c r="A6" s="2" t="s">
        <v>75</v>
      </c>
      <c r="B6" s="1" t="s">
        <v>76</v>
      </c>
      <c r="C6" s="1" t="s">
        <v>5</v>
      </c>
      <c r="D6" s="1">
        <v>67</v>
      </c>
      <c r="E6" s="1">
        <v>99</v>
      </c>
      <c r="F6" s="3">
        <v>166</v>
      </c>
    </row>
    <row r="7" spans="1:6">
      <c r="A7" s="2" t="s">
        <v>75</v>
      </c>
      <c r="B7" s="1" t="s">
        <v>79</v>
      </c>
      <c r="C7" s="1" t="s">
        <v>5</v>
      </c>
      <c r="D7" s="1">
        <v>72</v>
      </c>
      <c r="E7" s="1">
        <v>48</v>
      </c>
      <c r="F7" s="3">
        <v>120</v>
      </c>
    </row>
    <row r="8" spans="1:6">
      <c r="A8" s="2" t="s">
        <v>81</v>
      </c>
      <c r="B8" s="1" t="s">
        <v>85</v>
      </c>
      <c r="C8" s="1" t="s">
        <v>5</v>
      </c>
      <c r="D8" s="1">
        <v>231</v>
      </c>
      <c r="E8" s="1">
        <v>605</v>
      </c>
      <c r="F8" s="3">
        <v>836</v>
      </c>
    </row>
    <row r="9" spans="1:6">
      <c r="A9" s="2" t="s">
        <v>81</v>
      </c>
      <c r="B9" s="1" t="s">
        <v>83</v>
      </c>
      <c r="C9" s="1" t="s">
        <v>5</v>
      </c>
      <c r="D9" s="1">
        <v>208</v>
      </c>
      <c r="E9" s="1">
        <v>441</v>
      </c>
      <c r="F9" s="3">
        <v>649</v>
      </c>
    </row>
    <row r="10" spans="1:6">
      <c r="A10" s="2" t="s">
        <v>81</v>
      </c>
      <c r="B10" s="1" t="s">
        <v>84</v>
      </c>
      <c r="C10" s="1" t="s">
        <v>5</v>
      </c>
      <c r="D10" s="1">
        <v>95</v>
      </c>
      <c r="E10" s="1">
        <v>376</v>
      </c>
      <c r="F10" s="3">
        <v>471</v>
      </c>
    </row>
    <row r="11" spans="1:6">
      <c r="A11" s="2" t="s">
        <v>81</v>
      </c>
      <c r="B11" s="1" t="s">
        <v>86</v>
      </c>
      <c r="C11" s="1" t="s">
        <v>5</v>
      </c>
      <c r="D11" s="1">
        <v>47</v>
      </c>
      <c r="E11" s="1">
        <v>352</v>
      </c>
      <c r="F11" s="3">
        <v>399</v>
      </c>
    </row>
    <row r="12" spans="1:6">
      <c r="A12" s="2" t="s">
        <v>81</v>
      </c>
      <c r="B12" s="1" t="s">
        <v>88</v>
      </c>
      <c r="C12" s="1" t="s">
        <v>5</v>
      </c>
      <c r="D12" s="1">
        <v>70</v>
      </c>
      <c r="E12" s="1">
        <v>115</v>
      </c>
      <c r="F12" s="3">
        <v>185</v>
      </c>
    </row>
    <row r="13" spans="1:6">
      <c r="A13" s="2" t="s">
        <v>81</v>
      </c>
      <c r="B13" s="1" t="s">
        <v>82</v>
      </c>
      <c r="C13" s="1" t="s">
        <v>5</v>
      </c>
      <c r="D13" s="1">
        <v>85</v>
      </c>
      <c r="E13" s="1">
        <v>72</v>
      </c>
      <c r="F13" s="3">
        <v>157</v>
      </c>
    </row>
    <row r="14" spans="1:6">
      <c r="A14" s="2" t="s">
        <v>81</v>
      </c>
      <c r="B14" s="1" t="s">
        <v>87</v>
      </c>
      <c r="C14" s="1" t="s">
        <v>5</v>
      </c>
      <c r="D14" s="1">
        <v>15</v>
      </c>
      <c r="E14" s="1">
        <v>44</v>
      </c>
      <c r="F14" s="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F9EA-902E-4EF2-B833-17C363B0EE3D}">
  <dimension ref="A1:F20"/>
  <sheetViews>
    <sheetView workbookViewId="0">
      <selection sqref="A1:F20"/>
    </sheetView>
  </sheetViews>
  <sheetFormatPr baseColWidth="10" defaultRowHeight="13.8"/>
  <sheetData>
    <row r="1" spans="1:6">
      <c r="A1" s="32" t="s">
        <v>117</v>
      </c>
      <c r="B1" s="32" t="s">
        <v>118</v>
      </c>
      <c r="C1" s="32" t="s">
        <v>119</v>
      </c>
      <c r="D1" s="32" t="s">
        <v>0</v>
      </c>
      <c r="E1" s="32" t="s">
        <v>1</v>
      </c>
      <c r="F1" s="32" t="s">
        <v>2</v>
      </c>
    </row>
    <row r="2" spans="1:6">
      <c r="A2" s="42" t="s">
        <v>68</v>
      </c>
      <c r="B2" s="43" t="s">
        <v>74</v>
      </c>
      <c r="C2" s="43" t="s">
        <v>35</v>
      </c>
      <c r="D2" s="43">
        <v>45</v>
      </c>
      <c r="E2" s="43">
        <v>56</v>
      </c>
      <c r="F2" s="44">
        <v>101</v>
      </c>
    </row>
    <row r="3" spans="1:6">
      <c r="A3" s="45" t="s">
        <v>68</v>
      </c>
      <c r="B3" s="46" t="s">
        <v>69</v>
      </c>
      <c r="C3" s="46" t="s">
        <v>35</v>
      </c>
      <c r="D3" s="46">
        <v>9</v>
      </c>
      <c r="E3" s="46">
        <v>20</v>
      </c>
      <c r="F3" s="47">
        <v>29</v>
      </c>
    </row>
    <row r="4" spans="1:6">
      <c r="A4" s="42" t="s">
        <v>52</v>
      </c>
      <c r="B4" s="43" t="s">
        <v>58</v>
      </c>
      <c r="C4" s="43" t="s">
        <v>25</v>
      </c>
      <c r="D4" s="43">
        <v>51</v>
      </c>
      <c r="E4" s="43">
        <v>78</v>
      </c>
      <c r="F4" s="44">
        <v>129</v>
      </c>
    </row>
    <row r="5" spans="1:6">
      <c r="A5" s="42" t="s">
        <v>68</v>
      </c>
      <c r="B5" s="43" t="s">
        <v>72</v>
      </c>
      <c r="C5" s="43" t="s">
        <v>25</v>
      </c>
      <c r="D5" s="43">
        <v>52</v>
      </c>
      <c r="E5" s="43">
        <v>86</v>
      </c>
      <c r="F5" s="44">
        <v>138</v>
      </c>
    </row>
    <row r="6" spans="1:6">
      <c r="A6" s="45" t="s">
        <v>52</v>
      </c>
      <c r="B6" s="46" t="s">
        <v>53</v>
      </c>
      <c r="C6" s="46" t="s">
        <v>54</v>
      </c>
      <c r="D6" s="46">
        <v>31</v>
      </c>
      <c r="E6" s="46">
        <v>44</v>
      </c>
      <c r="F6" s="47">
        <v>75</v>
      </c>
    </row>
    <row r="7" spans="1:6">
      <c r="A7" s="42" t="s">
        <v>52</v>
      </c>
      <c r="B7" s="43" t="s">
        <v>57</v>
      </c>
      <c r="C7" s="43" t="s">
        <v>54</v>
      </c>
      <c r="D7" s="43">
        <v>0</v>
      </c>
      <c r="E7" s="43">
        <v>1</v>
      </c>
      <c r="F7" s="44">
        <v>1</v>
      </c>
    </row>
    <row r="8" spans="1:6">
      <c r="A8" s="45" t="s">
        <v>68</v>
      </c>
      <c r="B8" s="46" t="s">
        <v>72</v>
      </c>
      <c r="C8" s="46" t="s">
        <v>51</v>
      </c>
      <c r="D8" s="46">
        <v>24</v>
      </c>
      <c r="E8" s="46">
        <v>78</v>
      </c>
      <c r="F8" s="47">
        <v>102</v>
      </c>
    </row>
    <row r="9" spans="1:6">
      <c r="A9" s="45" t="s">
        <v>68</v>
      </c>
      <c r="B9" s="46" t="s">
        <v>72</v>
      </c>
      <c r="C9" s="46" t="s">
        <v>48</v>
      </c>
      <c r="D9" s="46">
        <v>44</v>
      </c>
      <c r="E9" s="46">
        <v>42</v>
      </c>
      <c r="F9" s="47">
        <v>86</v>
      </c>
    </row>
    <row r="10" spans="1:6">
      <c r="A10" s="45" t="s">
        <v>68</v>
      </c>
      <c r="B10" s="46" t="s">
        <v>73</v>
      </c>
      <c r="C10" s="46" t="s">
        <v>48</v>
      </c>
      <c r="D10" s="46">
        <v>10</v>
      </c>
      <c r="E10" s="46">
        <v>14</v>
      </c>
      <c r="F10" s="47">
        <v>24</v>
      </c>
    </row>
    <row r="11" spans="1:6">
      <c r="A11" s="45" t="s">
        <v>52</v>
      </c>
      <c r="B11" s="46" t="s">
        <v>56</v>
      </c>
      <c r="C11" s="46" t="s">
        <v>38</v>
      </c>
      <c r="D11" s="46">
        <v>69</v>
      </c>
      <c r="E11" s="46">
        <v>84</v>
      </c>
      <c r="F11" s="47">
        <v>153</v>
      </c>
    </row>
    <row r="12" spans="1:6">
      <c r="A12" s="48" t="s">
        <v>52</v>
      </c>
      <c r="B12" s="49" t="s">
        <v>53</v>
      </c>
      <c r="C12" s="49" t="s">
        <v>5</v>
      </c>
      <c r="D12" s="49">
        <v>818</v>
      </c>
      <c r="E12" s="49">
        <v>689</v>
      </c>
      <c r="F12" s="50">
        <v>1507</v>
      </c>
    </row>
    <row r="13" spans="1:6">
      <c r="A13" s="48" t="s">
        <v>52</v>
      </c>
      <c r="B13" s="49" t="s">
        <v>58</v>
      </c>
      <c r="C13" s="49" t="s">
        <v>5</v>
      </c>
      <c r="D13" s="49">
        <v>675</v>
      </c>
      <c r="E13" s="49">
        <v>584</v>
      </c>
      <c r="F13" s="50">
        <v>1259</v>
      </c>
    </row>
    <row r="14" spans="1:6">
      <c r="A14" s="51" t="s">
        <v>52</v>
      </c>
      <c r="B14" s="52" t="s">
        <v>55</v>
      </c>
      <c r="C14" s="52" t="s">
        <v>5</v>
      </c>
      <c r="D14" s="52">
        <v>254</v>
      </c>
      <c r="E14" s="52">
        <v>194</v>
      </c>
      <c r="F14" s="53">
        <v>448</v>
      </c>
    </row>
    <row r="15" spans="1:6">
      <c r="A15" s="48" t="s">
        <v>52</v>
      </c>
      <c r="B15" s="49" t="s">
        <v>56</v>
      </c>
      <c r="C15" s="49" t="s">
        <v>5</v>
      </c>
      <c r="D15" s="49">
        <v>99</v>
      </c>
      <c r="E15" s="49">
        <v>92</v>
      </c>
      <c r="F15" s="50">
        <v>191</v>
      </c>
    </row>
    <row r="16" spans="1:6">
      <c r="A16" s="54" t="s">
        <v>68</v>
      </c>
      <c r="B16" s="55" t="s">
        <v>72</v>
      </c>
      <c r="C16" s="55" t="s">
        <v>5</v>
      </c>
      <c r="D16" s="55">
        <v>669</v>
      </c>
      <c r="E16" s="55">
        <v>860</v>
      </c>
      <c r="F16" s="56">
        <v>1529</v>
      </c>
    </row>
    <row r="17" spans="1:6">
      <c r="A17" s="57" t="s">
        <v>68</v>
      </c>
      <c r="B17" s="58" t="s">
        <v>74</v>
      </c>
      <c r="C17" s="58" t="s">
        <v>5</v>
      </c>
      <c r="D17" s="58">
        <v>322</v>
      </c>
      <c r="E17" s="58">
        <v>302</v>
      </c>
      <c r="F17" s="59">
        <v>624</v>
      </c>
    </row>
    <row r="18" spans="1:6">
      <c r="A18" s="54" t="s">
        <v>68</v>
      </c>
      <c r="B18" s="55" t="s">
        <v>71</v>
      </c>
      <c r="C18" s="55" t="s">
        <v>5</v>
      </c>
      <c r="D18" s="55">
        <v>290</v>
      </c>
      <c r="E18" s="55">
        <v>333</v>
      </c>
      <c r="F18" s="56">
        <v>623</v>
      </c>
    </row>
    <row r="19" spans="1:6">
      <c r="A19" s="57" t="s">
        <v>68</v>
      </c>
      <c r="B19" s="58" t="s">
        <v>70</v>
      </c>
      <c r="C19" s="58" t="s">
        <v>5</v>
      </c>
      <c r="D19" s="58">
        <v>36</v>
      </c>
      <c r="E19" s="58">
        <v>43</v>
      </c>
      <c r="F19" s="59">
        <v>79</v>
      </c>
    </row>
    <row r="20" spans="1:6">
      <c r="A20" s="60" t="s">
        <v>68</v>
      </c>
      <c r="B20" s="61" t="s">
        <v>69</v>
      </c>
      <c r="C20" s="61" t="s">
        <v>5</v>
      </c>
      <c r="D20" s="61">
        <v>11</v>
      </c>
      <c r="E20" s="61">
        <v>16</v>
      </c>
      <c r="F20" s="62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503B1-B50E-40E5-A2BD-E097982A73CD}">
  <dimension ref="A1:F16"/>
  <sheetViews>
    <sheetView workbookViewId="0">
      <selection activeCell="K24" sqref="K24"/>
    </sheetView>
  </sheetViews>
  <sheetFormatPr baseColWidth="10" defaultRowHeight="13.8"/>
  <sheetData>
    <row r="1" spans="1:6">
      <c r="A1" s="32" t="s">
        <v>117</v>
      </c>
      <c r="B1" s="32" t="s">
        <v>118</v>
      </c>
      <c r="C1" s="32" t="s">
        <v>119</v>
      </c>
      <c r="D1" s="32" t="s">
        <v>0</v>
      </c>
      <c r="E1" s="32" t="s">
        <v>1</v>
      </c>
      <c r="F1" s="32" t="s">
        <v>2</v>
      </c>
    </row>
    <row r="2" spans="1:6">
      <c r="A2" s="16" t="s">
        <v>46</v>
      </c>
      <c r="B2" s="17" t="s">
        <v>49</v>
      </c>
      <c r="C2" s="17" t="s">
        <v>25</v>
      </c>
      <c r="D2" s="17">
        <v>39</v>
      </c>
      <c r="E2" s="17">
        <v>130</v>
      </c>
      <c r="F2" s="18">
        <v>169</v>
      </c>
    </row>
    <row r="3" spans="1:6">
      <c r="A3" s="16" t="s">
        <v>46</v>
      </c>
      <c r="B3" s="17" t="s">
        <v>50</v>
      </c>
      <c r="C3" s="17" t="s">
        <v>51</v>
      </c>
      <c r="D3" s="17">
        <v>66</v>
      </c>
      <c r="E3" s="17">
        <v>165</v>
      </c>
      <c r="F3" s="18">
        <v>231</v>
      </c>
    </row>
    <row r="4" spans="1:6">
      <c r="A4" s="16" t="s">
        <v>46</v>
      </c>
      <c r="B4" s="17" t="s">
        <v>47</v>
      </c>
      <c r="C4" s="17" t="s">
        <v>48</v>
      </c>
      <c r="D4" s="17">
        <v>18</v>
      </c>
      <c r="E4" s="17">
        <v>57</v>
      </c>
      <c r="F4" s="18">
        <v>75</v>
      </c>
    </row>
    <row r="5" spans="1:6">
      <c r="A5" s="33" t="s">
        <v>103</v>
      </c>
      <c r="B5" s="34" t="s">
        <v>103</v>
      </c>
      <c r="C5" s="34" t="s">
        <v>5</v>
      </c>
      <c r="D5" s="34">
        <v>770</v>
      </c>
      <c r="E5" s="34">
        <v>1367</v>
      </c>
      <c r="F5" s="35">
        <v>2137</v>
      </c>
    </row>
    <row r="6" spans="1:6">
      <c r="A6" s="33" t="s">
        <v>103</v>
      </c>
      <c r="B6" s="34" t="s">
        <v>104</v>
      </c>
      <c r="C6" s="34" t="s">
        <v>5</v>
      </c>
      <c r="D6" s="34">
        <v>73</v>
      </c>
      <c r="E6" s="34">
        <v>90</v>
      </c>
      <c r="F6" s="35">
        <v>163</v>
      </c>
    </row>
    <row r="7" spans="1:6">
      <c r="A7" s="19" t="s">
        <v>102</v>
      </c>
      <c r="B7" s="20" t="s">
        <v>102</v>
      </c>
      <c r="C7" s="20" t="s">
        <v>5</v>
      </c>
      <c r="D7" s="20">
        <v>1123</v>
      </c>
      <c r="E7" s="20">
        <v>1575</v>
      </c>
      <c r="F7" s="21">
        <v>2698</v>
      </c>
    </row>
    <row r="8" spans="1:6">
      <c r="A8" s="22" t="s">
        <v>63</v>
      </c>
      <c r="B8" s="23" t="s">
        <v>64</v>
      </c>
      <c r="C8" s="23" t="s">
        <v>5</v>
      </c>
      <c r="D8" s="23">
        <v>287</v>
      </c>
      <c r="E8" s="23">
        <v>409</v>
      </c>
      <c r="F8" s="24">
        <v>696</v>
      </c>
    </row>
    <row r="9" spans="1:6">
      <c r="A9" s="22" t="s">
        <v>63</v>
      </c>
      <c r="B9" s="23" t="s">
        <v>65</v>
      </c>
      <c r="C9" s="23" t="s">
        <v>5</v>
      </c>
      <c r="D9" s="23">
        <v>351</v>
      </c>
      <c r="E9" s="23">
        <v>372</v>
      </c>
      <c r="F9" s="24">
        <v>723</v>
      </c>
    </row>
    <row r="10" spans="1:6">
      <c r="A10" s="22" t="s">
        <v>63</v>
      </c>
      <c r="B10" s="23" t="s">
        <v>66</v>
      </c>
      <c r="C10" s="23" t="s">
        <v>5</v>
      </c>
      <c r="D10" s="23">
        <v>177</v>
      </c>
      <c r="E10" s="23">
        <v>391</v>
      </c>
      <c r="F10" s="24">
        <v>568</v>
      </c>
    </row>
    <row r="11" spans="1:6">
      <c r="A11" s="22" t="s">
        <v>63</v>
      </c>
      <c r="B11" s="23" t="s">
        <v>67</v>
      </c>
      <c r="C11" s="23" t="s">
        <v>5</v>
      </c>
      <c r="D11" s="23">
        <v>133</v>
      </c>
      <c r="E11" s="23">
        <v>333</v>
      </c>
      <c r="F11" s="24">
        <v>466</v>
      </c>
    </row>
    <row r="12" spans="1:6">
      <c r="A12" s="39" t="s">
        <v>59</v>
      </c>
      <c r="B12" s="40" t="s">
        <v>60</v>
      </c>
      <c r="C12" s="40" t="s">
        <v>5</v>
      </c>
      <c r="D12" s="40">
        <v>57</v>
      </c>
      <c r="E12" s="40">
        <v>91</v>
      </c>
      <c r="F12" s="41">
        <v>148</v>
      </c>
    </row>
    <row r="13" spans="1:6">
      <c r="A13" s="39" t="s">
        <v>59</v>
      </c>
      <c r="B13" s="40" t="s">
        <v>61</v>
      </c>
      <c r="C13" s="40" t="s">
        <v>5</v>
      </c>
      <c r="D13" s="40">
        <v>218</v>
      </c>
      <c r="E13" s="40">
        <v>673</v>
      </c>
      <c r="F13" s="41">
        <v>891</v>
      </c>
    </row>
    <row r="14" spans="1:6">
      <c r="A14" s="39" t="s">
        <v>59</v>
      </c>
      <c r="B14" s="40" t="s">
        <v>62</v>
      </c>
      <c r="C14" s="40" t="s">
        <v>5</v>
      </c>
      <c r="D14" s="40">
        <v>108</v>
      </c>
      <c r="E14" s="40">
        <v>817</v>
      </c>
      <c r="F14" s="41">
        <v>925</v>
      </c>
    </row>
    <row r="15" spans="1:6">
      <c r="A15" s="36" t="s">
        <v>46</v>
      </c>
      <c r="B15" s="37" t="s">
        <v>47</v>
      </c>
      <c r="C15" s="37" t="s">
        <v>5</v>
      </c>
      <c r="D15" s="37">
        <v>203</v>
      </c>
      <c r="E15" s="37">
        <v>1098</v>
      </c>
      <c r="F15" s="38">
        <v>1301</v>
      </c>
    </row>
    <row r="16" spans="1:6">
      <c r="A16" s="7"/>
      <c r="B16" s="8"/>
      <c r="C16" s="8"/>
      <c r="D16" s="8"/>
      <c r="E16" s="8"/>
      <c r="F16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area tecnologia</vt:lpstr>
      <vt:lpstr>area social</vt:lpstr>
      <vt:lpstr>area economia</vt:lpstr>
      <vt:lpstr>area 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Anacleto Ortega Loayza</dc:creator>
  <cp:lastModifiedBy>Gian Morales</cp:lastModifiedBy>
  <cp:lastPrinted>2026-08-18T03:55:38Z</cp:lastPrinted>
  <dcterms:created xsi:type="dcterms:W3CDTF">2026-08-18T03:53:47Z</dcterms:created>
  <dcterms:modified xsi:type="dcterms:W3CDTF">2026-09-14T09:23:53Z</dcterms:modified>
</cp:coreProperties>
</file>